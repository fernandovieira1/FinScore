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\Documents\dev\Finscore\FinScore\V. 2 (Pudim)\dados_teste\"/>
    </mc:Choice>
  </mc:AlternateContent>
  <xr:revisionPtr revIDLastSave="0" documentId="13_ncr:1_{FF5347A2-F104-46E7-AB92-A90E6FD0C2F0}" xr6:coauthVersionLast="47" xr6:coauthVersionMax="47" xr10:uidLastSave="{00000000-0000-0000-0000-000000000000}"/>
  <bookViews>
    <workbookView xWindow="21710" yWindow="1130" windowWidth="17280" windowHeight="888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4" i="1"/>
</calcChain>
</file>

<file path=xl/sharedStrings.xml><?xml version="1.0" encoding="utf-8"?>
<sst xmlns="http://schemas.openxmlformats.org/spreadsheetml/2006/main" count="45" uniqueCount="45">
  <si>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</si>
  <si>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</si>
  <si>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</si>
  <si>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</si>
  <si>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</si>
  <si>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</si>
  <si>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</si>
  <si>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</si>
  <si>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</si>
  <si>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</si>
  <si>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</si>
  <si>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</si>
  <si>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</si>
  <si>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</si>
  <si>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</si>
  <si>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</si>
  <si>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</si>
  <si>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</si>
  <si>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</si>
  <si>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</si>
  <si>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</si>
  <si>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</si>
  <si>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</si>
  <si>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</si>
  <si>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</si>
  <si>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</si>
  <si>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</si>
  <si>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</si>
  <si>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</si>
  <si>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</si>
  <si>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</si>
  <si>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</si>
  <si>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</si>
  <si>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</si>
  <si>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</si>
  <si>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</si>
  <si>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</si>
  <si>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</si>
  <si>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FERNANDO</t>
  </si>
  <si>
    <t>PUDIM DE LEITE (V2.00.07)</t>
  </si>
  <si>
    <t>Serasa em 700</t>
  </si>
  <si>
    <t>EO</t>
  </si>
  <si>
    <t>FP</t>
  </si>
  <si>
    <t>não roda: Residual negativo em p_Passivo_Circulante; a base deveria ter sido bloqueada</t>
  </si>
  <si>
    <t>não roda: motivo desconhecido.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</si>
</sst>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1" fillId="2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right" vertical="top"/>
    </xf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J22"/>
  <sheetViews>
    <sheetView tabSelected="1" topLeftCell="D1" zoomScale="80" zoomScaleNormal="80" workbookViewId="0">
      <selection activeCell="E5" sqref="E5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73.5546875" style="2" customWidth="1"/>
    <col min="4" max="4" width="11.44140625" style="1" bestFit="1" customWidth="1"/>
    <col min="5" max="5" width="24.109375" style="1" bestFit="1" customWidth="1"/>
    <col min="6" max="7" width="13.88671875" style="1" customWidth="1"/>
    <col min="8" max="8" width="21.5546875" style="1" customWidth="1"/>
    <col min="9" max="9" width="32.21875" style="1" bestFit="1" customWidth="1"/>
    <col min="10" max="16384" width="8.88671875" style="1"/>
  </cols>
  <sheetData>
    <row r="1" spans="1:10" x14ac:dyDescent="0.3">
      <c r="A1" s="1" t="s">
        <v>0</v>
      </c>
    </row>
    <row r="2" spans="1:10" x14ac:dyDescent="0.3">
      <c r="E2" s="1" t="s">
        <v>40</v>
      </c>
    </row>
    <row r="3" spans="1:10" s="3" customFormat="1" x14ac:dyDescent="0.3">
      <c r="B3" s="3" t="s">
        <v>35</v>
      </c>
      <c r="C3" s="4" t="s">
        <v>36</v>
      </c>
      <c r="D3" s="3" t="s">
        <v>37</v>
      </c>
      <c r="E3" s="7" t="s">
        <v>39</v>
      </c>
      <c r="F3" s="7" t="s">
        <v>41</v>
      </c>
      <c r="G3" s="7" t="s">
        <v>42</v>
      </c>
      <c r="H3" s="5" t="s">
        <v>38</v>
      </c>
      <c r="I3" s="5"/>
    </row>
    <row r="4" spans="1:10" ht="115.2" x14ac:dyDescent="0.3">
      <c r="A4" s="1">
        <v>1</v>
      </c>
      <c r="B4" s="1" t="s">
        <v>1</v>
      </c>
      <c r="C4" s="2" t="s">
        <v>25</v>
      </c>
      <c r="D4" s="1">
        <v>240</v>
      </c>
      <c r="E4" s="8">
        <v>401.22</v>
      </c>
      <c r="F4" s="8">
        <v>572.29</v>
      </c>
      <c r="G4" s="8">
        <v>332.11</v>
      </c>
      <c r="H4" s="6"/>
      <c r="I4" s="6" t="str">
        <f>_xlfn.CONCAT(A4,RIGHT(B4,30))</f>
        <v>1Callamarys</v>
      </c>
    </row>
    <row r="5" spans="1:10" ht="100.8" x14ac:dyDescent="0.3">
      <c r="A5" s="1">
        <v>2</v>
      </c>
      <c r="B5" s="1" t="s">
        <v>2</v>
      </c>
      <c r="C5" s="2" t="s">
        <v>26</v>
      </c>
      <c r="D5" s="1">
        <v>392.5</v>
      </c>
      <c r="E5" s="6">
        <v>644.94000000000005</v>
      </c>
      <c r="F5" s="6">
        <v>639.71</v>
      </c>
      <c r="G5" s="6">
        <v>652.44000000000005</v>
      </c>
      <c r="H5" s="6"/>
      <c r="I5" s="6" t="str">
        <f t="shared" ref="I5:I20" si="0">_xlfn.CONCAT(A5,RIGHT(B5,30))</f>
        <v>2Cool Seed</v>
      </c>
    </row>
    <row r="6" spans="1:10" ht="72" x14ac:dyDescent="0.3">
      <c r="A6" s="1">
        <v>3</v>
      </c>
      <c r="B6" s="1" t="s">
        <v>17</v>
      </c>
      <c r="C6" s="2" t="s">
        <v>24</v>
      </c>
      <c r="D6" s="1">
        <v>200</v>
      </c>
      <c r="E6" s="6">
        <v>649.04</v>
      </c>
      <c r="F6" s="6">
        <v>585.73</v>
      </c>
      <c r="G6" s="6">
        <v>748.18</v>
      </c>
      <c r="H6" s="6"/>
      <c r="I6" s="6" t="str">
        <f t="shared" si="0"/>
        <v>3 Cofesa - Super G Supermercado</v>
      </c>
    </row>
    <row r="7" spans="1:10" ht="86.4" x14ac:dyDescent="0.3">
      <c r="A7" s="1">
        <v>4</v>
      </c>
      <c r="B7" s="1" t="s">
        <v>4</v>
      </c>
      <c r="C7" s="2" t="s">
        <v>30</v>
      </c>
      <c r="D7" s="1">
        <v>650</v>
      </c>
      <c r="E7" s="6">
        <v>666.28</v>
      </c>
      <c r="F7" s="6">
        <v>624.88</v>
      </c>
      <c r="G7" s="6">
        <v>728.84</v>
      </c>
      <c r="H7" s="6"/>
      <c r="I7" s="6" t="str">
        <f t="shared" si="0"/>
        <v>4t - E-Construmarket Tecnologia</v>
      </c>
    </row>
    <row r="8" spans="1:10" ht="57.6" x14ac:dyDescent="0.3">
      <c r="A8" s="1">
        <v>5</v>
      </c>
      <c r="B8" s="1" t="s">
        <v>5</v>
      </c>
      <c r="C8" s="2" t="s">
        <v>31</v>
      </c>
      <c r="D8" s="1">
        <v>905</v>
      </c>
      <c r="E8" s="6">
        <v>766.21</v>
      </c>
      <c r="F8" s="6">
        <v>785</v>
      </c>
      <c r="G8" s="6">
        <v>758.54</v>
      </c>
      <c r="H8" s="6"/>
      <c r="I8" s="6" t="str">
        <f t="shared" si="0"/>
        <v>5umarket - Mobicloud Tecnologia</v>
      </c>
    </row>
    <row r="9" spans="1:10" ht="57.6" x14ac:dyDescent="0.3">
      <c r="A9" s="1">
        <v>6</v>
      </c>
      <c r="B9" s="1" t="s">
        <v>6</v>
      </c>
      <c r="C9" s="2" t="s">
        <v>32</v>
      </c>
      <c r="D9" s="1">
        <v>255</v>
      </c>
      <c r="E9" s="6">
        <v>481.89</v>
      </c>
      <c r="F9" s="6">
        <v>394.89</v>
      </c>
      <c r="G9" s="6">
        <v>630.73</v>
      </c>
      <c r="H9" s="6"/>
      <c r="I9" s="6" t="str">
        <f t="shared" si="0"/>
        <v>6strumarket - SSA-Miro Solucoes</v>
      </c>
    </row>
    <row r="10" spans="1:10" ht="57.6" x14ac:dyDescent="0.3">
      <c r="A10" s="1">
        <v>7</v>
      </c>
      <c r="B10" s="1" t="s">
        <v>7</v>
      </c>
      <c r="C10" s="2" t="s">
        <v>19</v>
      </c>
      <c r="D10" s="1">
        <v>475</v>
      </c>
      <c r="E10" s="6"/>
      <c r="F10" s="6"/>
      <c r="G10" s="6"/>
      <c r="H10" s="6"/>
      <c r="I10" s="6" t="str">
        <f t="shared" si="0"/>
        <v>7ornax - Flammers Participacoes</v>
      </c>
      <c r="J10" s="9" t="s">
        <v>44</v>
      </c>
    </row>
    <row r="11" spans="1:10" ht="100.8" x14ac:dyDescent="0.3">
      <c r="A11" s="1">
        <v>8</v>
      </c>
      <c r="B11" s="1" t="s">
        <v>8</v>
      </c>
      <c r="C11" s="2" t="s">
        <v>18</v>
      </c>
      <c r="D11" s="1">
        <v>227.5</v>
      </c>
      <c r="E11" s="6">
        <v>737.56</v>
      </c>
      <c r="F11" s="6">
        <v>809.47</v>
      </c>
      <c r="G11" s="6">
        <v>715.79</v>
      </c>
      <c r="H11" s="6"/>
      <c r="I11" s="6" t="str">
        <f t="shared" si="0"/>
        <v>8po Fornax - Fornax Consultoria</v>
      </c>
    </row>
    <row r="12" spans="1:10" ht="57.6" x14ac:dyDescent="0.3">
      <c r="A12" s="1">
        <v>9</v>
      </c>
      <c r="B12" s="1" t="s">
        <v>9</v>
      </c>
      <c r="C12" s="2" t="s">
        <v>21</v>
      </c>
      <c r="D12" s="1">
        <v>790</v>
      </c>
      <c r="E12" s="6">
        <v>350</v>
      </c>
      <c r="F12" s="6">
        <v>825.62</v>
      </c>
      <c r="G12" s="6">
        <v>295.19</v>
      </c>
      <c r="H12" s="6"/>
      <c r="I12" s="6" t="str">
        <f t="shared" si="0"/>
        <v>9rupo Fornax - Modo Serviços RH</v>
      </c>
    </row>
    <row r="13" spans="1:10" ht="100.8" x14ac:dyDescent="0.3">
      <c r="A13" s="1">
        <v>10</v>
      </c>
      <c r="B13" s="1" t="s">
        <v>10</v>
      </c>
      <c r="C13" s="2" t="s">
        <v>20</v>
      </c>
      <c r="D13" s="1">
        <v>902.5</v>
      </c>
      <c r="E13" s="6">
        <v>249.87</v>
      </c>
      <c r="F13" s="6">
        <v>428.95</v>
      </c>
      <c r="G13" s="6">
        <v>190.55</v>
      </c>
      <c r="H13" s="6"/>
      <c r="I13" s="6" t="str">
        <f t="shared" si="0"/>
        <v>10upo Fornax - Mooven Assessoria</v>
      </c>
    </row>
    <row r="14" spans="1:10" ht="72" x14ac:dyDescent="0.3">
      <c r="A14" s="1">
        <v>11</v>
      </c>
      <c r="B14" s="1" t="s">
        <v>11</v>
      </c>
      <c r="C14" s="2" t="s">
        <v>22</v>
      </c>
      <c r="D14" s="1">
        <v>767.5</v>
      </c>
      <c r="E14" s="6">
        <v>532.41</v>
      </c>
      <c r="F14" s="6">
        <v>747.52</v>
      </c>
      <c r="G14" s="6">
        <v>454.01</v>
      </c>
      <c r="H14" s="6"/>
      <c r="I14" s="6" t="str">
        <f t="shared" si="0"/>
        <v>11Grupo JNP - JNH Hoteis</v>
      </c>
    </row>
    <row r="15" spans="1:10" ht="115.2" x14ac:dyDescent="0.3">
      <c r="A15" s="1">
        <v>12</v>
      </c>
      <c r="B15" s="1" t="s">
        <v>12</v>
      </c>
      <c r="C15" s="2" t="s">
        <v>23</v>
      </c>
      <c r="D15" s="1">
        <v>587.5</v>
      </c>
      <c r="E15" s="6">
        <v>390.38</v>
      </c>
      <c r="F15" s="6">
        <v>373.08</v>
      </c>
      <c r="G15" s="6">
        <v>416.08</v>
      </c>
      <c r="H15" s="6"/>
      <c r="I15" s="6" t="str">
        <f t="shared" si="0"/>
        <v>12Grupo JNP - JNS Seguradora</v>
      </c>
    </row>
    <row r="16" spans="1:10" ht="57.6" x14ac:dyDescent="0.3">
      <c r="A16" s="1">
        <v>13</v>
      </c>
      <c r="B16" s="1" t="s">
        <v>13</v>
      </c>
      <c r="C16" s="2" t="s">
        <v>28</v>
      </c>
      <c r="D16" s="1">
        <v>157.5</v>
      </c>
      <c r="E16" s="6">
        <v>732.81</v>
      </c>
      <c r="F16" s="6">
        <v>720.04</v>
      </c>
      <c r="G16" s="6">
        <v>751.29</v>
      </c>
      <c r="H16" s="6"/>
      <c r="I16" s="6" t="str">
        <f t="shared" si="0"/>
        <v>13 - Mega Administradora de Bens</v>
      </c>
    </row>
    <row r="17" spans="1:10" ht="72" x14ac:dyDescent="0.3">
      <c r="A17" s="1">
        <v>14</v>
      </c>
      <c r="B17" s="1" t="s">
        <v>14</v>
      </c>
      <c r="C17" s="2" t="s">
        <v>27</v>
      </c>
      <c r="D17" s="1">
        <v>847.5</v>
      </c>
      <c r="E17" s="6">
        <v>560.29</v>
      </c>
      <c r="F17" s="6">
        <v>623.65</v>
      </c>
      <c r="G17" s="6">
        <v>530.13</v>
      </c>
      <c r="H17" s="6"/>
      <c r="I17" s="6" t="str">
        <f t="shared" si="0"/>
        <v>14Motos - Mega Motos Com Imp Exp</v>
      </c>
    </row>
    <row r="18" spans="1:10" ht="86.4" x14ac:dyDescent="0.3">
      <c r="A18" s="1">
        <v>15</v>
      </c>
      <c r="B18" s="1" t="s">
        <v>15</v>
      </c>
      <c r="C18" s="2" t="s">
        <v>34</v>
      </c>
      <c r="D18" s="1">
        <v>717.5</v>
      </c>
      <c r="E18" s="6"/>
      <c r="F18" s="6"/>
      <c r="G18" s="6"/>
      <c r="H18" s="6"/>
      <c r="I18" s="6" t="str">
        <f t="shared" si="0"/>
        <v>15Log Road Transporte Rodoviario</v>
      </c>
      <c r="J18" s="9" t="s">
        <v>43</v>
      </c>
    </row>
    <row r="19" spans="1:10" x14ac:dyDescent="0.3">
      <c r="A19" s="1">
        <v>16</v>
      </c>
      <c r="B19" s="1" t="s">
        <v>16</v>
      </c>
      <c r="C19" s="2" t="s">
        <v>33</v>
      </c>
      <c r="D19" s="1">
        <v>295</v>
      </c>
      <c r="E19" s="6">
        <v>752.8</v>
      </c>
      <c r="F19" s="6">
        <v>829.87</v>
      </c>
      <c r="G19" s="6">
        <v>716.04</v>
      </c>
      <c r="H19" s="6"/>
      <c r="I19" s="6" t="str">
        <f t="shared" si="0"/>
        <v>16og Road - TMDL Armazens Gerais</v>
      </c>
    </row>
    <row r="20" spans="1:10" ht="100.8" x14ac:dyDescent="0.3">
      <c r="A20" s="1">
        <v>17</v>
      </c>
      <c r="B20" s="1" t="s">
        <v>3</v>
      </c>
      <c r="C20" s="2" t="s">
        <v>29</v>
      </c>
      <c r="D20" s="1">
        <v>855</v>
      </c>
      <c r="E20" s="6">
        <v>312.61</v>
      </c>
      <c r="F20" s="6">
        <v>271.17</v>
      </c>
      <c r="G20" s="6">
        <v>385.63</v>
      </c>
      <c r="H20" s="6"/>
      <c r="I20" s="6" t="str">
        <f t="shared" si="0"/>
        <v>17Pacto Energia</v>
      </c>
    </row>
    <row r="22" spans="1:10" x14ac:dyDescent="0.3">
      <c r="E22" s="1">
        <f>CORREL(D4:D20,E4:E20)</f>
        <v>-0.43574878517302107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2026-07-30T19:44:39Z</dcterms:modified>
</cp:coreProperties>
</file>