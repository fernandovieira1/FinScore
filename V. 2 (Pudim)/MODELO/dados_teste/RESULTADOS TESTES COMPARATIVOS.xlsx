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ferna\dev_linux\FinScore\V. 2 (Pudim)\MODELO\dados_teste\"/>
    </mc:Choice>
  </mc:AlternateContent>
  <xr:revisionPtr revIDLastSave="0" documentId="13_ncr:1_{67AA3770-FBBE-4B7A-B6AA-ADA6D8CD8D39}" xr6:coauthVersionLast="47" xr6:coauthVersionMax="47" xr10:uidLastSave="{00000000-0000-0000-0000-000000000000}"/>
  <bookViews>
    <workbookView xWindow="19090" yWindow="-110" windowWidth="19420" windowHeight="11020" xr2:uid="{4010788E-9D57-4518-8E30-3FC23E7ECB4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7" i="1" l="1"/>
  <c r="C5" i="1"/>
  <c r="C6" i="1"/>
  <c r="C7" i="1"/>
  <c r="C8" i="1"/>
  <c r="C9" i="1"/>
  <c r="C10" i="1"/>
  <c r="C11" i="1"/>
  <c r="C12" i="1"/>
  <c r="C13" i="1"/>
  <c r="C14" i="1"/>
  <c r="C15" i="1"/>
  <c r="C16" i="1"/>
  <c r="C18" i="1"/>
  <c r="C19" i="1"/>
  <c r="C20" i="1"/>
  <c r="C4" i="1"/>
</calcChain>
</file>

<file path=xl/sharedStrings.xml><?xml version="1.0" encoding="utf-8"?>
<sst xmlns="http://schemas.openxmlformats.org/spreadsheetml/2006/main" count="50" uniqueCount="44">
  <si>
    <t>SIMULAÇÕES FINSCORE</t>
  </si>
  <si>
    <t>Callamarys</t>
  </si>
  <si>
    <t>Cool Seed</t>
  </si>
  <si>
    <t>Pacto Energia</t>
  </si>
  <si>
    <t>Grupo E-Construmarket - E-Construmarket Tecnologia</t>
  </si>
  <si>
    <t>Grupo E-Construmarket - Mobicloud Tecnologia</t>
  </si>
  <si>
    <t>Grupo E-Construmarket - SSA-Miro Solucoes</t>
  </si>
  <si>
    <t>Grupo Fornax - Flammers Participacoes</t>
  </si>
  <si>
    <t>Grupo Fornax - Fornax Consultoria</t>
  </si>
  <si>
    <t>Grupo Fornax - Modo Serviços RH</t>
  </si>
  <si>
    <t>Grupo Fornax - Mooven Assessoria</t>
  </si>
  <si>
    <t>Grupo JNP - JNH Hoteis</t>
  </si>
  <si>
    <t>Grupo JNP - JNS Seguradora</t>
  </si>
  <si>
    <t>Grupo Mega Motos - Mega Administradora de Bens</t>
  </si>
  <si>
    <t>Grupo Mega Motos - Mega Motos Com Imp Exp</t>
  </si>
  <si>
    <t>Grupo TMDL-Log Road - Log Road Transporte Rodoviario</t>
  </si>
  <si>
    <t>Grupo TMDL-Log Road - TMDL Armazens Gerais</t>
  </si>
  <si>
    <t>Grupo Cofesa - Super G Supermercado</t>
  </si>
  <si>
    <t>FORNAX Consultoria (10.585.521/0001-01) — consultoria em informática (desenvolvimento de software) — legado 227,5 (reprovada): o caso que abriu esta conversa. Serviços B2B sem CMV e sem estoque: giro, PMP e margem bruta não discriminam nada aqui, os indicadores que importam são margem líquida, geração de caixa e concentração de clientes. O setor distribui lucro agressivamente (PL 2023 de R$ 113 mil), o que não é sinal de fragilidade, é prática do segmento. Talvez um ajuste setorial evitaria penalizar isso como risco patrimonial.</t>
  </si>
  <si>
    <t>FLAMMERS Participações (28.640.998/0001-08) — holding (controladora da Fornax) — legado 475,0 (teste): receita operacional zero; resultado vem de equivalência e dividendos. Índices /receita degeneram (NaN→0). Holdings precisariam de trilha própria (olhar a controlada ou o consolidado).</t>
  </si>
  <si>
    <t>MOOVEN Assessoria de TI (24.208.556/0001-36) — serviços de TI — legado 902,5 (teste): nosso melhor exemplo do problema de sinal do eixo: fundamentos em deterioração clara (receita −59% em 2 anos, prejuízo de 505 mil em 2025, PL de 6,75M para 806K, empréstimos bancários novos de 5,1M BS2/Safra/Itaú e cobertura de juros de 426 para 1,55) e o modelo devolveu o maior score que já vimos. Em serviços de TI, tendência de receita, dependência de contratos e alavancagem recente tem um grande peso quando comparado a média do triênio.</t>
  </si>
  <si>
    <t>MODO Serviços de RH (35.101.589/0001-07) — RH/capacitação — legado 790,0 (teste): empresa-veículo em rampa: ativo de R$ 15,76 em 2025, PL negativo nos 3 anos, funding todo intercompany. Sugere um filtro de escala mínima/qualidade de base antes do score. abaixo do piso, a saída deveria ser "não classificável".</t>
  </si>
  <si>
    <t>JNH Hotéis (09.055.007/0001-85) — hotelaria — legado 767,5 (aprovada): intensiva em capital com IFRS16 pesado: arrendamento CP 2,2M + LP 8,8M dominam o passivo e NÃO estão em "empréstimos" (não é dívida bancária — ver nota). Em hotelaria, verificar o tratamento do arrendamento como dívida ou como custo operacional,  RevPAR/sazonalidade explicam volatilidade de margem que num varejo seria alarme.</t>
  </si>
  <si>
    <t>JNS Seguradora (30.862.594/0001-00) — seguros, regulada SUSEP — legado 587,5 (teste): plano de contas SUSEP não mapeia 1:1 no societário (preenchido com premissas anotadas). Passivo dominado por provisões técnicas que são obrigação com segurado, não endividamento. O resultado financeiro do float (12,1M em 2025) é operacional no setor. Liquidez corrente e endividamento talvez tenham menor importância aqui sem ajuste. Solvência regulatória seria o indicador natural. Vale conversarmos sobre uma trilha para reguladas (temos uma financeira IFRS9 entrando na esteira com o mesmo problema).</t>
  </si>
  <si>
    <t>Super G / Grupo Cofesa (05.797.331/0001-18) — supermercado (CNAE 47.11-3/02) — legado 200,0 (teste, reprovada): varejo alimentar: margem apertada e giro alto são a norma margem líquida baixa não é fragilidade setorial. PMR ~0 (venda à vista) e fornecedores como principal funding são estrutura típica. Ponto atípico real: caixa de 17–20M (70–74% do ativo) rendendo 2–2,9M/ano.</t>
  </si>
  <si>
    <t>Callamarys Ind. e Com. Cosmético (01.932.232/0001-40) — indústria/comércio de cosméticos — legado 240,0 (teste, reprovada; score rodado com p_Passivo_Total padronizado = Ativo): o contraponto de risco real da amostra: prejuízo nos 3 exercícios (−1,31M / −0,33M / −2,63M, sinal real no template), PL ~zero com receita de 141M, dívida bancária de 21M (CP+LP) e parcelamentos fiscais de 4,6M no LP. Aqui os indicadores clássicos (alavancagem, cobertura, NCG o ciclo estoque+clientes−fornecedores do template captura bem) funcionam e deveriam pesar; nota: despesas financeiras lançadas pelo total, conforme o dicionário.</t>
  </si>
  <si>
    <t>Cool Seed Equip. Agrícolas (04.749.583/0001-09) — máquinas e implementos agrícolas — legado 392,5 (teste): BP/DRE extraídos da ECD transmitida (recibos anexos). Prejuízo de 801K em 2023, lucros de 5,42M e 3,12M em 2024/2025 — recuperação real, mas com NCG pesada (estoques 17,4M + clientes 20,9M), dívida bancária CP de 14,4M e caixa de 355K em 2025. No setor de bens de capital agrícola, o ciclo de safra e a dependência de crédito rural (Plano Safra) explicam estoque e alavancagem altos; talvez faça sentido o modelo olhar ciclo de caixa e cobertura, mais que liquidez seca.</t>
  </si>
  <si>
    <t>Mega Motos Com. Imp. Exp. (95.815.015/0001-14) — varejo de motocicletas — legado 847,5 (teste): receita crescendo 75,9M → 94,9M → 108,7M com lucros nos 3 anos. Varejo de veículos: estoque (9,7M) e fornecedores são a estrutura natural; giro é o indicador que discrimina. O PL cai de 20,8M para 2,5M por distribuição contínua de lucros mesma prática já vista na amostra.</t>
  </si>
  <si>
    <t>Mega Administradora de Bens (07.542.706/0001-24) — administradora de bens (patrimonial do grupo) — legado 157,5 (teste, reprovada): lucra ~1,4M/ano de locações, não tem dívida e o PL é de 2,1M — e o modelo reprova. Reforça a sugestão de trilha própria para patrimoniais/holdings.</t>
  </si>
  <si>
    <t>Bem Comercializadora S.A., ex-Pacto (23.412.242/0001-98) — comercialização de energia e gás — legado 855,0 (teste): prejuízos de 8,5M (2024) e 13,3M (2025), atenuados por IR diferido sobre prejuízo fiscal, e o modelo aprova com 855 mais um caso de sinal de eixo. No setor, os contratos de compra/venda futura entram pelo bruto nos dois lados do balanço (ativo 71,8M × passivo 74,0M em 2025) sem netting, liquidez e endividamento clássicos perdem significado; a exposição a preço (PLD) explica a volatilidade do resultado. AFAC de 15,4M indica capitalização em curso.</t>
  </si>
  <si>
    <t>E-Construmarket Tecnologia e Serviços S.A (03.706.177/0001-04) — tecnologia para construção — legado 650,0 (teste): receita líquida 22,0M → 28,8M, resultado voltou ao positivo em 2025 (510K), dívida bancária zerada desde 2024 (havia 400K em 2023). funding de partes relacionadas no LP (6,6M → 1,5M). Nota de leitura: na DRE gerencial dessas empresas o rótulo "receita líquida" é o lucro bruto o template foi preenchido com a receita líquida real (faturamento − deduções).</t>
  </si>
  <si>
    <t>Mobicloud Tecnologia (26.590.119/0001-55) — software — legado 905,0 (teste): pequena e acelerando (receita 2,5M → 4,8M; lucro 140K → 589K; caixa 1,1M; sem dívida). Aqui o score alto parece condizente com os fundamentos. Bom contraexemplo positivo da amostra.</t>
  </si>
  <si>
    <t>SSA-MRO Soluções (26.409.092/0001-51) — manutenção industrial — legado 255,0 (teste): prejuízo de 819K em 2025 e ativo caindo de 8,1M para 2,5M (liquidação de créditos com partes relacionadas); obrigações sociais e fiscais não segregadas no BP (campo em branco). Score baixo condizente com a deterioração.</t>
  </si>
  <si>
    <t>TMDL Armazéns Gerais (47.208.271/0001-09) — armazéns gerais/logística 295 (teste)</t>
  </si>
  <si>
    <t>Log Road Transporte Rodoviário (29.306.736/0001-74) — transporte de cargas — legado 717,5 (teste): PL NEGATIVO em 2024 (−1,28M, capital de só 232K), prejuízos crescentes (−245K → −1,41M), dívida bancária subindo para 1,73M e o modelo aprova com 717,5, com o pior ano pesando 60%. A margem fina é típica do transporte, mas aqui os indicadores clássicos apontariam reprovação; é o par mais didático da amostra junto com a Mooven.</t>
  </si>
  <si>
    <t>EMPRESA</t>
  </si>
  <si>
    <t>ELPÍDIO</t>
  </si>
  <si>
    <t>BRIGADEIRO</t>
  </si>
  <si>
    <t>Serasa em 700</t>
  </si>
  <si>
    <t>EO</t>
  </si>
  <si>
    <t>FP</t>
  </si>
  <si>
    <t>PUDIM (V2.00.07)</t>
  </si>
  <si>
    <t>PUDIM (V2.00.12)</t>
  </si>
  <si>
    <t>PUDIM (V2.00.15)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</si>
</sst>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0" tint="-0.499984740745262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1" fillId="2" borderId="1" xfId="0" applyFont="1" applyFill="1" applyBorder="1" applyAlignment="1">
      <alignment vertical="top"/>
    </xf>
    <xf numFmtId="0" fontId="0" fillId="2" borderId="1" xfId="0" applyFill="1" applyBorder="1" applyAlignment="1">
      <alignment vertical="top"/>
    </xf>
    <xf numFmtId="0" fontId="1" fillId="3" borderId="1" xfId="0" applyFont="1" applyFill="1" applyBorder="1" applyAlignment="1">
      <alignment horizontal="right" vertical="top"/>
    </xf>
    <xf numFmtId="0" fontId="0" fillId="3" borderId="1" xfId="0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0" fontId="1" fillId="4" borderId="1" xfId="0" applyFont="1" applyFill="1" applyBorder="1" applyAlignment="1">
      <alignment horizontal="right" vertical="top"/>
    </xf>
    <xf numFmtId="0" fontId="0" fillId="4" borderId="1" xfId="0" applyFill="1" applyBorder="1" applyAlignment="1">
      <alignment horizontal="right" vertical="top"/>
    </xf>
    <xf numFmtId="0" fontId="0" fillId="4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1" fillId="2" borderId="2" xfId="0" applyFont="1" applyFill="1" applyBorder="1" applyAlignment="1">
      <alignment vertical="top"/>
    </xf>
    <xf numFmtId="0" fontId="0" fillId="2" borderId="3" xfId="0" applyFill="1" applyBorder="1"/>
    <xf numFmtId="0" fontId="1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right" vertical="top"/>
    </xf>
    <xf numFmtId="0" fontId="4" fillId="3" borderId="1" xfId="0" applyFont="1" applyFill="1" applyBorder="1" applyAlignment="1">
      <alignment horizontal="right" vertical="top"/>
    </xf>
    <xf numFmtId="0" fontId="4" fillId="3" borderId="1" xfId="0" applyFont="1" applyFill="1" applyBorder="1" applyAlignment="1">
      <alignment vertical="top"/>
    </xf>
    <xf numFmtId="0" fontId="3" fillId="4" borderId="1" xfId="0" applyFont="1" applyFill="1" applyBorder="1" applyAlignment="1">
      <alignment horizontal="right" vertical="top"/>
    </xf>
    <xf numFmtId="0" fontId="4" fillId="4" borderId="1" xfId="0" applyFont="1" applyFill="1" applyBorder="1" applyAlignment="1">
      <alignment horizontal="right" vertical="top"/>
    </xf>
    <xf numFmtId="0" fontId="4" fillId="4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1" fillId="5" borderId="1" xfId="0" applyFont="1" applyFill="1" applyBorder="1" applyAlignment="1">
      <alignment horizontal="right" vertical="top"/>
    </xf>
    <xf numFmtId="0" fontId="3" fillId="5" borderId="1" xfId="0" applyFont="1" applyFill="1" applyBorder="1" applyAlignment="1">
      <alignment horizontal="right" vertical="top"/>
    </xf>
    <xf numFmtId="0" fontId="0" fillId="5" borderId="1" xfId="0" applyFill="1" applyBorder="1" applyAlignment="1">
      <alignment horizontal="right" vertical="top"/>
    </xf>
    <xf numFmtId="0" fontId="4" fillId="5" borderId="1" xfId="0" applyFont="1" applyFill="1" applyBorder="1" applyAlignment="1">
      <alignment horizontal="right" vertical="top"/>
    </xf>
    <xf numFmtId="0" fontId="0" fillId="5" borderId="1" xfId="0" applyFill="1" applyBorder="1" applyAlignment="1">
      <alignment vertical="top"/>
    </xf>
    <xf numFmtId="0" fontId="4" fillId="5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Planilha1!$E$3</c:f>
              <c:strCache>
                <c:ptCount val="1"/>
                <c:pt idx="0">
                  <c:v>BRIGADEIRO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Planilha1!$B$4:$B$20</c:f>
              <c:strCache>
                <c:ptCount val="17"/>
                <c:pt idx="0">
                  <c:v>Callamarys</c:v>
                </c:pt>
                <c:pt idx="1">
                  <c:v>Cool Seed</c:v>
                </c:pt>
                <c:pt idx="2">
                  <c:v>Grupo Cofesa - Super G Supermercado</c:v>
                </c:pt>
                <c:pt idx="3">
                  <c:v>Grupo E-Construmarket - E-Construmarket Tecnologia</c:v>
                </c:pt>
                <c:pt idx="4">
                  <c:v>Grupo E-Construmarket - Mobicloud Tecnologia</c:v>
                </c:pt>
                <c:pt idx="5">
                  <c:v>Grupo E-Construmarket - SSA-Miro Solucoes</c:v>
                </c:pt>
                <c:pt idx="6">
                  <c:v>Grupo Fornax - Flammers Participacoes</c:v>
                </c:pt>
                <c:pt idx="7">
                  <c:v>Grupo Fornax - Fornax Consultoria</c:v>
                </c:pt>
                <c:pt idx="8">
                  <c:v>Grupo Fornax - Modo Serviços RH</c:v>
                </c:pt>
                <c:pt idx="9">
                  <c:v>Grupo Fornax - Mooven Assessoria</c:v>
                </c:pt>
                <c:pt idx="10">
                  <c:v>Grupo JNP - JNH Hoteis</c:v>
                </c:pt>
                <c:pt idx="11">
                  <c:v>Grupo JNP - JNS Seguradora</c:v>
                </c:pt>
                <c:pt idx="12">
                  <c:v>Grupo Mega Motos - Mega Administradora de Bens</c:v>
                </c:pt>
                <c:pt idx="13">
                  <c:v>Grupo Mega Motos - Mega Motos Com Imp Exp</c:v>
                </c:pt>
                <c:pt idx="14">
                  <c:v>Grupo TMDL-Log Road - Log Road Transporte Rodoviario</c:v>
                </c:pt>
                <c:pt idx="15">
                  <c:v>Grupo TMDL-Log Road - TMDL Armazens Gerais</c:v>
                </c:pt>
                <c:pt idx="16">
                  <c:v>Pacto Energia</c:v>
                </c:pt>
              </c:strCache>
            </c:strRef>
          </c:cat>
          <c:val>
            <c:numRef>
              <c:f>Planilha1!$E$4:$E$20</c:f>
              <c:numCache>
                <c:formatCode>General</c:formatCode>
                <c:ptCount val="17"/>
                <c:pt idx="0">
                  <c:v>240</c:v>
                </c:pt>
                <c:pt idx="1">
                  <c:v>392.5</c:v>
                </c:pt>
                <c:pt idx="2">
                  <c:v>200</c:v>
                </c:pt>
                <c:pt idx="3">
                  <c:v>650</c:v>
                </c:pt>
                <c:pt idx="4">
                  <c:v>905</c:v>
                </c:pt>
                <c:pt idx="5">
                  <c:v>255</c:v>
                </c:pt>
                <c:pt idx="6">
                  <c:v>475</c:v>
                </c:pt>
                <c:pt idx="7">
                  <c:v>227.5</c:v>
                </c:pt>
                <c:pt idx="8">
                  <c:v>790</c:v>
                </c:pt>
                <c:pt idx="9">
                  <c:v>902.5</c:v>
                </c:pt>
                <c:pt idx="10">
                  <c:v>767.5</c:v>
                </c:pt>
                <c:pt idx="11">
                  <c:v>587.5</c:v>
                </c:pt>
                <c:pt idx="12">
                  <c:v>157.5</c:v>
                </c:pt>
                <c:pt idx="13">
                  <c:v>847.5</c:v>
                </c:pt>
                <c:pt idx="14">
                  <c:v>717.5</c:v>
                </c:pt>
                <c:pt idx="15">
                  <c:v>295</c:v>
                </c:pt>
                <c:pt idx="16">
                  <c:v>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29-43E4-A58E-8149C6662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7764912"/>
        <c:axId val="2083699120"/>
      </c:barChart>
      <c:lineChart>
        <c:grouping val="standard"/>
        <c:varyColors val="0"/>
        <c:ser>
          <c:idx val="1"/>
          <c:order val="1"/>
          <c:tx>
            <c:strRef>
              <c:f>Planilha1!$F$3</c:f>
              <c:strCache>
                <c:ptCount val="1"/>
                <c:pt idx="0">
                  <c:v>PUDIM (V2.00.07)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Planilha1!$B$4:$B$20</c:f>
              <c:strCache>
                <c:ptCount val="17"/>
                <c:pt idx="0">
                  <c:v>Callamarys</c:v>
                </c:pt>
                <c:pt idx="1">
                  <c:v>Cool Seed</c:v>
                </c:pt>
                <c:pt idx="2">
                  <c:v>Grupo Cofesa - Super G Supermercado</c:v>
                </c:pt>
                <c:pt idx="3">
                  <c:v>Grupo E-Construmarket - E-Construmarket Tecnologia</c:v>
                </c:pt>
                <c:pt idx="4">
                  <c:v>Grupo E-Construmarket - Mobicloud Tecnologia</c:v>
                </c:pt>
                <c:pt idx="5">
                  <c:v>Grupo E-Construmarket - SSA-Miro Solucoes</c:v>
                </c:pt>
                <c:pt idx="6">
                  <c:v>Grupo Fornax - Flammers Participacoes</c:v>
                </c:pt>
                <c:pt idx="7">
                  <c:v>Grupo Fornax - Fornax Consultoria</c:v>
                </c:pt>
                <c:pt idx="8">
                  <c:v>Grupo Fornax - Modo Serviços RH</c:v>
                </c:pt>
                <c:pt idx="9">
                  <c:v>Grupo Fornax - Mooven Assessoria</c:v>
                </c:pt>
                <c:pt idx="10">
                  <c:v>Grupo JNP - JNH Hoteis</c:v>
                </c:pt>
                <c:pt idx="11">
                  <c:v>Grupo JNP - JNS Seguradora</c:v>
                </c:pt>
                <c:pt idx="12">
                  <c:v>Grupo Mega Motos - Mega Administradora de Bens</c:v>
                </c:pt>
                <c:pt idx="13">
                  <c:v>Grupo Mega Motos - Mega Motos Com Imp Exp</c:v>
                </c:pt>
                <c:pt idx="14">
                  <c:v>Grupo TMDL-Log Road - Log Road Transporte Rodoviario</c:v>
                </c:pt>
                <c:pt idx="15">
                  <c:v>Grupo TMDL-Log Road - TMDL Armazens Gerais</c:v>
                </c:pt>
                <c:pt idx="16">
                  <c:v>Pacto Energia</c:v>
                </c:pt>
              </c:strCache>
            </c:strRef>
          </c:cat>
          <c:val>
            <c:numRef>
              <c:f>Planilha1!$F$4:$F$20</c:f>
              <c:numCache>
                <c:formatCode>General</c:formatCode>
                <c:ptCount val="17"/>
                <c:pt idx="0">
                  <c:v>401.22</c:v>
                </c:pt>
                <c:pt idx="1">
                  <c:v>644.94000000000005</c:v>
                </c:pt>
                <c:pt idx="2">
                  <c:v>649.04</c:v>
                </c:pt>
                <c:pt idx="3">
                  <c:v>666.28</c:v>
                </c:pt>
                <c:pt idx="4">
                  <c:v>766.21</c:v>
                </c:pt>
                <c:pt idx="5">
                  <c:v>481.89</c:v>
                </c:pt>
                <c:pt idx="6">
                  <c:v>0</c:v>
                </c:pt>
                <c:pt idx="7">
                  <c:v>737.56</c:v>
                </c:pt>
                <c:pt idx="8">
                  <c:v>350</c:v>
                </c:pt>
                <c:pt idx="9">
                  <c:v>249.87</c:v>
                </c:pt>
                <c:pt idx="10">
                  <c:v>532.41</c:v>
                </c:pt>
                <c:pt idx="11">
                  <c:v>390.38</c:v>
                </c:pt>
                <c:pt idx="12">
                  <c:v>732.81</c:v>
                </c:pt>
                <c:pt idx="13">
                  <c:v>560.29</c:v>
                </c:pt>
                <c:pt idx="14">
                  <c:v>0</c:v>
                </c:pt>
                <c:pt idx="15">
                  <c:v>752.8</c:v>
                </c:pt>
                <c:pt idx="16">
                  <c:v>312.61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29-43E4-A58E-8149C6662440}"/>
            </c:ext>
          </c:extLst>
        </c:ser>
        <c:ser>
          <c:idx val="2"/>
          <c:order val="2"/>
          <c:tx>
            <c:strRef>
              <c:f>Planilha1!$I$3</c:f>
              <c:strCache>
                <c:ptCount val="1"/>
                <c:pt idx="0">
                  <c:v>PUDIM (V2.00.12)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Planilha1!$B$4:$B$20</c:f>
              <c:strCache>
                <c:ptCount val="17"/>
                <c:pt idx="0">
                  <c:v>Callamarys</c:v>
                </c:pt>
                <c:pt idx="1">
                  <c:v>Cool Seed</c:v>
                </c:pt>
                <c:pt idx="2">
                  <c:v>Grupo Cofesa - Super G Supermercado</c:v>
                </c:pt>
                <c:pt idx="3">
                  <c:v>Grupo E-Construmarket - E-Construmarket Tecnologia</c:v>
                </c:pt>
                <c:pt idx="4">
                  <c:v>Grupo E-Construmarket - Mobicloud Tecnologia</c:v>
                </c:pt>
                <c:pt idx="5">
                  <c:v>Grupo E-Construmarket - SSA-Miro Solucoes</c:v>
                </c:pt>
                <c:pt idx="6">
                  <c:v>Grupo Fornax - Flammers Participacoes</c:v>
                </c:pt>
                <c:pt idx="7">
                  <c:v>Grupo Fornax - Fornax Consultoria</c:v>
                </c:pt>
                <c:pt idx="8">
                  <c:v>Grupo Fornax - Modo Serviços RH</c:v>
                </c:pt>
                <c:pt idx="9">
                  <c:v>Grupo Fornax - Mooven Assessoria</c:v>
                </c:pt>
                <c:pt idx="10">
                  <c:v>Grupo JNP - JNH Hoteis</c:v>
                </c:pt>
                <c:pt idx="11">
                  <c:v>Grupo JNP - JNS Seguradora</c:v>
                </c:pt>
                <c:pt idx="12">
                  <c:v>Grupo Mega Motos - Mega Administradora de Bens</c:v>
                </c:pt>
                <c:pt idx="13">
                  <c:v>Grupo Mega Motos - Mega Motos Com Imp Exp</c:v>
                </c:pt>
                <c:pt idx="14">
                  <c:v>Grupo TMDL-Log Road - Log Road Transporte Rodoviario</c:v>
                </c:pt>
                <c:pt idx="15">
                  <c:v>Grupo TMDL-Log Road - TMDL Armazens Gerais</c:v>
                </c:pt>
                <c:pt idx="16">
                  <c:v>Pacto Energia</c:v>
                </c:pt>
              </c:strCache>
            </c:strRef>
          </c:cat>
          <c:val>
            <c:numRef>
              <c:f>Planilha1!$I$4:$I$20</c:f>
              <c:numCache>
                <c:formatCode>General</c:formatCode>
                <c:ptCount val="17"/>
                <c:pt idx="0">
                  <c:v>394.43</c:v>
                </c:pt>
                <c:pt idx="1">
                  <c:v>731.87</c:v>
                </c:pt>
                <c:pt idx="2">
                  <c:v>726.56</c:v>
                </c:pt>
                <c:pt idx="3">
                  <c:v>747.93</c:v>
                </c:pt>
                <c:pt idx="4">
                  <c:v>897.64</c:v>
                </c:pt>
                <c:pt idx="5">
                  <c:v>500</c:v>
                </c:pt>
                <c:pt idx="6">
                  <c:v>0</c:v>
                </c:pt>
                <c:pt idx="7">
                  <c:v>854.01</c:v>
                </c:pt>
                <c:pt idx="8">
                  <c:v>350</c:v>
                </c:pt>
                <c:pt idx="9">
                  <c:v>244.87</c:v>
                </c:pt>
                <c:pt idx="10">
                  <c:v>602.53</c:v>
                </c:pt>
                <c:pt idx="11">
                  <c:v>376.14</c:v>
                </c:pt>
                <c:pt idx="12">
                  <c:v>845.81</c:v>
                </c:pt>
                <c:pt idx="13">
                  <c:v>621.24</c:v>
                </c:pt>
                <c:pt idx="14">
                  <c:v>0</c:v>
                </c:pt>
                <c:pt idx="15">
                  <c:v>837.55</c:v>
                </c:pt>
                <c:pt idx="16">
                  <c:v>289.87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29-43E4-A58E-8149C6662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7764912"/>
        <c:axId val="2083699120"/>
      </c:lineChart>
      <c:catAx>
        <c:axId val="208776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3699120"/>
        <c:crosses val="autoZero"/>
        <c:auto val="1"/>
        <c:lblAlgn val="ctr"/>
        <c:lblOffset val="100"/>
        <c:noMultiLvlLbl val="0"/>
      </c:catAx>
      <c:valAx>
        <c:axId val="208369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7764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531948</xdr:colOff>
      <xdr:row>20</xdr:row>
      <xdr:rowOff>161470</xdr:rowOff>
    </xdr:from>
    <xdr:to>
      <xdr:col>9</xdr:col>
      <xdr:colOff>281213</xdr:colOff>
      <xdr:row>56</xdr:row>
      <xdr:rowOff>81642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6ECCCF6-9CAD-1E7A-4F7C-42D6658CC0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CEEB7-B92B-4053-9C51-209D00D628B8}">
  <dimension ref="A1:N20"/>
  <sheetViews>
    <sheetView tabSelected="1" topLeftCell="D1" zoomScale="70" zoomScaleNormal="70" workbookViewId="0">
      <selection activeCell="H7" sqref="H7"/>
    </sheetView>
  </sheetViews>
  <sheetFormatPr defaultRowHeight="14.4" x14ac:dyDescent="0.3"/>
  <cols>
    <col min="1" max="1" width="8.88671875" style="1"/>
    <col min="2" max="2" width="44.88671875" style="1" bestFit="1" customWidth="1"/>
    <col min="3" max="3" width="32.21875" style="1" bestFit="1" customWidth="1"/>
    <col min="4" max="4" width="73.5546875" style="2" customWidth="1"/>
    <col min="5" max="5" width="12.109375" style="1" bestFit="1" customWidth="1"/>
    <col min="6" max="6" width="15.77734375" style="1" bestFit="1" customWidth="1"/>
    <col min="7" max="8" width="13.88671875" style="1" customWidth="1"/>
    <col min="9" max="9" width="24.109375" style="1" bestFit="1" customWidth="1"/>
    <col min="10" max="11" width="13.88671875" style="1" customWidth="1"/>
    <col min="12" max="12" width="24.109375" style="1" bestFit="1" customWidth="1"/>
    <col min="13" max="14" width="13.88671875" style="1" customWidth="1"/>
    <col min="15" max="16384" width="8.88671875" style="1"/>
  </cols>
  <sheetData>
    <row r="1" spans="1:14" x14ac:dyDescent="0.3">
      <c r="A1" s="1" t="s">
        <v>0</v>
      </c>
    </row>
    <row r="2" spans="1:14" x14ac:dyDescent="0.3">
      <c r="F2" s="1" t="s">
        <v>38</v>
      </c>
      <c r="I2" s="1" t="s">
        <v>38</v>
      </c>
      <c r="L2" s="1" t="s">
        <v>38</v>
      </c>
    </row>
    <row r="3" spans="1:14" s="3" customFormat="1" x14ac:dyDescent="0.3">
      <c r="B3" s="14" t="s">
        <v>35</v>
      </c>
      <c r="C3" s="15"/>
      <c r="D3" s="16" t="s">
        <v>36</v>
      </c>
      <c r="E3" s="4" t="s">
        <v>37</v>
      </c>
      <c r="F3" s="6" t="s">
        <v>41</v>
      </c>
      <c r="G3" s="17" t="s">
        <v>39</v>
      </c>
      <c r="H3" s="17" t="s">
        <v>40</v>
      </c>
      <c r="I3" s="9" t="s">
        <v>42</v>
      </c>
      <c r="J3" s="20" t="s">
        <v>39</v>
      </c>
      <c r="K3" s="20" t="s">
        <v>40</v>
      </c>
      <c r="L3" s="25" t="s">
        <v>43</v>
      </c>
      <c r="M3" s="26" t="s">
        <v>39</v>
      </c>
      <c r="N3" s="26" t="s">
        <v>40</v>
      </c>
    </row>
    <row r="4" spans="1:14" ht="115.2" x14ac:dyDescent="0.3">
      <c r="A4" s="12">
        <v>1</v>
      </c>
      <c r="B4" s="5" t="s">
        <v>1</v>
      </c>
      <c r="C4" s="5" t="str">
        <f t="shared" ref="C4:C20" si="0">_xlfn.CONCAT(A4,RIGHT(B4,30))</f>
        <v>1Callamarys</v>
      </c>
      <c r="D4" s="13" t="s">
        <v>25</v>
      </c>
      <c r="E4" s="5">
        <v>240</v>
      </c>
      <c r="F4" s="7">
        <v>401.22</v>
      </c>
      <c r="G4" s="18">
        <v>572.29</v>
      </c>
      <c r="H4" s="18">
        <v>332.11</v>
      </c>
      <c r="I4" s="10">
        <v>394.43</v>
      </c>
      <c r="J4" s="21">
        <v>629.49</v>
      </c>
      <c r="K4" s="21">
        <v>291.85000000000002</v>
      </c>
      <c r="L4" s="27">
        <v>412.23</v>
      </c>
      <c r="M4" s="28">
        <v>564.25</v>
      </c>
      <c r="N4" s="28">
        <v>338.27</v>
      </c>
    </row>
    <row r="5" spans="1:14" ht="100.8" x14ac:dyDescent="0.3">
      <c r="A5" s="12">
        <v>2</v>
      </c>
      <c r="B5" s="5" t="s">
        <v>2</v>
      </c>
      <c r="C5" s="5" t="str">
        <f t="shared" si="0"/>
        <v>2Cool Seed</v>
      </c>
      <c r="D5" s="13" t="s">
        <v>26</v>
      </c>
      <c r="E5" s="5">
        <v>392.5</v>
      </c>
      <c r="F5" s="8">
        <v>644.94000000000005</v>
      </c>
      <c r="G5" s="19">
        <v>639.71</v>
      </c>
      <c r="H5" s="19">
        <v>652.44000000000005</v>
      </c>
      <c r="I5" s="11">
        <v>731.87</v>
      </c>
      <c r="J5" s="22">
        <v>726.36</v>
      </c>
      <c r="K5" s="22">
        <v>741.14</v>
      </c>
      <c r="L5" s="29"/>
      <c r="M5" s="30"/>
      <c r="N5" s="30"/>
    </row>
    <row r="6" spans="1:14" ht="72" x14ac:dyDescent="0.3">
      <c r="A6" s="12">
        <v>3</v>
      </c>
      <c r="B6" s="5" t="s">
        <v>17</v>
      </c>
      <c r="C6" s="5" t="str">
        <f t="shared" si="0"/>
        <v>3 Cofesa - Super G Supermercado</v>
      </c>
      <c r="D6" s="13" t="s">
        <v>24</v>
      </c>
      <c r="E6" s="5">
        <v>200</v>
      </c>
      <c r="F6" s="8">
        <v>649.04</v>
      </c>
      <c r="G6" s="19">
        <v>585.73</v>
      </c>
      <c r="H6" s="19">
        <v>748.18</v>
      </c>
      <c r="I6" s="11">
        <v>726.56</v>
      </c>
      <c r="J6" s="22">
        <v>647.85</v>
      </c>
      <c r="K6" s="22">
        <v>874.75</v>
      </c>
      <c r="L6" s="29"/>
      <c r="M6" s="30"/>
      <c r="N6" s="30"/>
    </row>
    <row r="7" spans="1:14" ht="86.4" x14ac:dyDescent="0.3">
      <c r="A7" s="12">
        <v>4</v>
      </c>
      <c r="B7" s="5" t="s">
        <v>4</v>
      </c>
      <c r="C7" s="5" t="str">
        <f t="shared" si="0"/>
        <v>4t - E-Construmarket Tecnologia</v>
      </c>
      <c r="D7" s="13" t="s">
        <v>30</v>
      </c>
      <c r="E7" s="5">
        <v>650</v>
      </c>
      <c r="F7" s="8">
        <v>666.28</v>
      </c>
      <c r="G7" s="19">
        <v>624.88</v>
      </c>
      <c r="H7" s="19">
        <v>728.84</v>
      </c>
      <c r="I7" s="11">
        <v>747.93</v>
      </c>
      <c r="J7" s="22">
        <v>705.02</v>
      </c>
      <c r="K7" s="22">
        <v>824.09</v>
      </c>
      <c r="L7" s="29"/>
      <c r="M7" s="30"/>
      <c r="N7" s="30"/>
    </row>
    <row r="8" spans="1:14" ht="57.6" x14ac:dyDescent="0.3">
      <c r="A8" s="12">
        <v>5</v>
      </c>
      <c r="B8" s="5" t="s">
        <v>5</v>
      </c>
      <c r="C8" s="5" t="str">
        <f t="shared" si="0"/>
        <v>5umarket - Mobicloud Tecnologia</v>
      </c>
      <c r="D8" s="13" t="s">
        <v>31</v>
      </c>
      <c r="E8" s="5">
        <v>905</v>
      </c>
      <c r="F8" s="8">
        <v>766.21</v>
      </c>
      <c r="G8" s="19">
        <v>785</v>
      </c>
      <c r="H8" s="19">
        <v>758.54</v>
      </c>
      <c r="I8" s="11">
        <v>897.64</v>
      </c>
      <c r="J8" s="22">
        <v>927.28</v>
      </c>
      <c r="K8" s="22">
        <v>883.03</v>
      </c>
      <c r="L8" s="29"/>
      <c r="M8" s="30"/>
      <c r="N8" s="30"/>
    </row>
    <row r="9" spans="1:14" ht="57.6" x14ac:dyDescent="0.3">
      <c r="A9" s="12">
        <v>6</v>
      </c>
      <c r="B9" s="5" t="s">
        <v>6</v>
      </c>
      <c r="C9" s="5" t="str">
        <f t="shared" si="0"/>
        <v>6strumarket - SSA-Miro Solucoes</v>
      </c>
      <c r="D9" s="13" t="s">
        <v>32</v>
      </c>
      <c r="E9" s="5">
        <v>255</v>
      </c>
      <c r="F9" s="8">
        <v>481.89</v>
      </c>
      <c r="G9" s="19">
        <v>394.89</v>
      </c>
      <c r="H9" s="19">
        <v>630.73</v>
      </c>
      <c r="I9" s="11">
        <v>500</v>
      </c>
      <c r="J9" s="22">
        <v>435.65</v>
      </c>
      <c r="K9" s="22">
        <v>734.35</v>
      </c>
      <c r="L9" s="29"/>
      <c r="M9" s="30"/>
      <c r="N9" s="30"/>
    </row>
    <row r="10" spans="1:14" ht="57.6" x14ac:dyDescent="0.3">
      <c r="A10" s="12">
        <v>7</v>
      </c>
      <c r="B10" s="5" t="s">
        <v>7</v>
      </c>
      <c r="C10" s="5" t="str">
        <f t="shared" si="0"/>
        <v>7ornax - Flammers Participacoes</v>
      </c>
      <c r="D10" s="13" t="s">
        <v>19</v>
      </c>
      <c r="E10" s="5">
        <v>475</v>
      </c>
      <c r="F10" s="23">
        <v>0</v>
      </c>
      <c r="G10" s="23">
        <v>0</v>
      </c>
      <c r="H10" s="23">
        <v>0</v>
      </c>
      <c r="I10" s="24">
        <v>0</v>
      </c>
      <c r="J10" s="24">
        <v>0</v>
      </c>
      <c r="K10" s="24">
        <v>0</v>
      </c>
      <c r="L10" s="31"/>
      <c r="M10" s="31"/>
      <c r="N10" s="31"/>
    </row>
    <row r="11" spans="1:14" ht="100.8" x14ac:dyDescent="0.3">
      <c r="A11" s="12">
        <v>8</v>
      </c>
      <c r="B11" s="5" t="s">
        <v>8</v>
      </c>
      <c r="C11" s="5" t="str">
        <f t="shared" si="0"/>
        <v>8po Fornax - Fornax Consultoria</v>
      </c>
      <c r="D11" s="13" t="s">
        <v>18</v>
      </c>
      <c r="E11" s="5">
        <v>227.5</v>
      </c>
      <c r="F11" s="8">
        <v>737.56</v>
      </c>
      <c r="G11" s="19">
        <v>809.47</v>
      </c>
      <c r="H11" s="19">
        <v>715.79</v>
      </c>
      <c r="I11" s="11">
        <v>854.01</v>
      </c>
      <c r="J11" s="22">
        <v>961.69</v>
      </c>
      <c r="K11" s="22">
        <v>808.95</v>
      </c>
      <c r="L11" s="29"/>
      <c r="M11" s="30"/>
      <c r="N11" s="30"/>
    </row>
    <row r="12" spans="1:14" ht="57.6" x14ac:dyDescent="0.3">
      <c r="A12" s="12">
        <v>9</v>
      </c>
      <c r="B12" s="5" t="s">
        <v>9</v>
      </c>
      <c r="C12" s="5" t="str">
        <f t="shared" si="0"/>
        <v>9rupo Fornax - Modo Serviços RH</v>
      </c>
      <c r="D12" s="13" t="s">
        <v>21</v>
      </c>
      <c r="E12" s="5">
        <v>790</v>
      </c>
      <c r="F12" s="8">
        <v>350</v>
      </c>
      <c r="G12" s="19">
        <v>825.62</v>
      </c>
      <c r="H12" s="19">
        <v>295.19</v>
      </c>
      <c r="I12" s="11">
        <v>350</v>
      </c>
      <c r="J12" s="22">
        <v>925</v>
      </c>
      <c r="K12" s="22">
        <v>221.58</v>
      </c>
      <c r="L12" s="29"/>
      <c r="M12" s="30"/>
      <c r="N12" s="30"/>
    </row>
    <row r="13" spans="1:14" ht="100.8" x14ac:dyDescent="0.3">
      <c r="A13" s="12">
        <v>10</v>
      </c>
      <c r="B13" s="5" t="s">
        <v>10</v>
      </c>
      <c r="C13" s="5" t="str">
        <f t="shared" si="0"/>
        <v>10upo Fornax - Mooven Assessoria</v>
      </c>
      <c r="D13" s="13" t="s">
        <v>20</v>
      </c>
      <c r="E13" s="5">
        <v>902.5</v>
      </c>
      <c r="F13" s="8">
        <v>249.87</v>
      </c>
      <c r="G13" s="19">
        <v>428.95</v>
      </c>
      <c r="H13" s="19">
        <v>190.55</v>
      </c>
      <c r="I13" s="11">
        <v>244.87</v>
      </c>
      <c r="J13" s="22">
        <v>443.16</v>
      </c>
      <c r="K13" s="22">
        <v>170.46</v>
      </c>
      <c r="L13" s="29"/>
      <c r="M13" s="30"/>
      <c r="N13" s="30"/>
    </row>
    <row r="14" spans="1:14" ht="72" x14ac:dyDescent="0.3">
      <c r="A14" s="12">
        <v>11</v>
      </c>
      <c r="B14" s="5" t="s">
        <v>11</v>
      </c>
      <c r="C14" s="5" t="str">
        <f t="shared" si="0"/>
        <v>11Grupo JNP - JNH Hoteis</v>
      </c>
      <c r="D14" s="13" t="s">
        <v>22</v>
      </c>
      <c r="E14" s="5">
        <v>767.5</v>
      </c>
      <c r="F14" s="8">
        <v>532.41</v>
      </c>
      <c r="G14" s="19">
        <v>747.52</v>
      </c>
      <c r="H14" s="19">
        <v>454.01</v>
      </c>
      <c r="I14" s="11">
        <v>602.53</v>
      </c>
      <c r="J14" s="22">
        <v>875.11</v>
      </c>
      <c r="K14" s="22">
        <v>486.21</v>
      </c>
      <c r="L14" s="29"/>
      <c r="M14" s="30"/>
      <c r="N14" s="30"/>
    </row>
    <row r="15" spans="1:14" ht="115.2" x14ac:dyDescent="0.3">
      <c r="A15" s="12">
        <v>12</v>
      </c>
      <c r="B15" s="5" t="s">
        <v>12</v>
      </c>
      <c r="C15" s="5" t="str">
        <f t="shared" si="0"/>
        <v>12Grupo JNP - JNS Seguradora</v>
      </c>
      <c r="D15" s="13" t="s">
        <v>23</v>
      </c>
      <c r="E15" s="5">
        <v>587.5</v>
      </c>
      <c r="F15" s="8">
        <v>390.38</v>
      </c>
      <c r="G15" s="19">
        <v>373.08</v>
      </c>
      <c r="H15" s="19">
        <v>416.08</v>
      </c>
      <c r="I15" s="11">
        <v>376.14</v>
      </c>
      <c r="J15" s="22">
        <v>356</v>
      </c>
      <c r="K15" s="22">
        <v>411.72</v>
      </c>
      <c r="L15" s="29"/>
      <c r="M15" s="30"/>
      <c r="N15" s="30"/>
    </row>
    <row r="16" spans="1:14" ht="57.6" x14ac:dyDescent="0.3">
      <c r="A16" s="12">
        <v>13</v>
      </c>
      <c r="B16" s="5" t="s">
        <v>13</v>
      </c>
      <c r="C16" s="5" t="str">
        <f t="shared" si="0"/>
        <v>13 - Mega Administradora de Bens</v>
      </c>
      <c r="D16" s="13" t="s">
        <v>28</v>
      </c>
      <c r="E16" s="5">
        <v>157.5</v>
      </c>
      <c r="F16" s="8">
        <v>732.81</v>
      </c>
      <c r="G16" s="19">
        <v>720.04</v>
      </c>
      <c r="H16" s="19">
        <v>751.29</v>
      </c>
      <c r="I16" s="11">
        <v>845.81</v>
      </c>
      <c r="J16" s="22">
        <v>836.2</v>
      </c>
      <c r="K16" s="22">
        <v>862.02</v>
      </c>
      <c r="L16" s="29"/>
      <c r="M16" s="30"/>
      <c r="N16" s="30"/>
    </row>
    <row r="17" spans="1:14" ht="72" x14ac:dyDescent="0.3">
      <c r="A17" s="12">
        <v>14</v>
      </c>
      <c r="B17" s="5" t="s">
        <v>14</v>
      </c>
      <c r="C17" s="5" t="str">
        <f t="shared" si="0"/>
        <v>14Motos - Mega Motos Com Imp Exp</v>
      </c>
      <c r="D17" s="13" t="s">
        <v>27</v>
      </c>
      <c r="E17" s="5">
        <v>847.5</v>
      </c>
      <c r="F17" s="8">
        <v>560.29</v>
      </c>
      <c r="G17" s="19">
        <v>623.65</v>
      </c>
      <c r="H17" s="19">
        <v>530.13</v>
      </c>
      <c r="I17" s="11">
        <v>621.24</v>
      </c>
      <c r="J17" s="22">
        <v>701.43</v>
      </c>
      <c r="K17" s="22">
        <v>576.78</v>
      </c>
      <c r="L17" s="29"/>
      <c r="M17" s="30"/>
      <c r="N17" s="30"/>
    </row>
    <row r="18" spans="1:14" ht="86.4" x14ac:dyDescent="0.3">
      <c r="A18" s="12">
        <v>15</v>
      </c>
      <c r="B18" s="5" t="s">
        <v>15</v>
      </c>
      <c r="C18" s="5" t="str">
        <f t="shared" si="0"/>
        <v>15Log Road Transporte Rodoviario</v>
      </c>
      <c r="D18" s="13" t="s">
        <v>34</v>
      </c>
      <c r="E18" s="5">
        <v>717.5</v>
      </c>
      <c r="F18" s="23">
        <v>0</v>
      </c>
      <c r="G18" s="23">
        <v>0</v>
      </c>
      <c r="H18" s="23">
        <v>0</v>
      </c>
      <c r="I18" s="24">
        <v>0</v>
      </c>
      <c r="J18" s="24">
        <v>0</v>
      </c>
      <c r="K18" s="24">
        <v>0</v>
      </c>
      <c r="L18" s="31"/>
      <c r="M18" s="31"/>
      <c r="N18" s="31"/>
    </row>
    <row r="19" spans="1:14" x14ac:dyDescent="0.3">
      <c r="A19" s="12">
        <v>16</v>
      </c>
      <c r="B19" s="5" t="s">
        <v>16</v>
      </c>
      <c r="C19" s="5" t="str">
        <f t="shared" si="0"/>
        <v>16og Road - TMDL Armazens Gerais</v>
      </c>
      <c r="D19" s="13" t="s">
        <v>33</v>
      </c>
      <c r="E19" s="5">
        <v>295</v>
      </c>
      <c r="F19" s="8">
        <v>752.8</v>
      </c>
      <c r="G19" s="19">
        <v>829.87</v>
      </c>
      <c r="H19" s="19">
        <v>716.04</v>
      </c>
      <c r="I19" s="11">
        <v>837.55</v>
      </c>
      <c r="J19" s="22">
        <v>989.67</v>
      </c>
      <c r="K19" s="22">
        <v>755.72</v>
      </c>
      <c r="L19" s="29"/>
      <c r="M19" s="30"/>
      <c r="N19" s="30"/>
    </row>
    <row r="20" spans="1:14" ht="100.8" x14ac:dyDescent="0.3">
      <c r="A20" s="12">
        <v>17</v>
      </c>
      <c r="B20" s="5" t="s">
        <v>3</v>
      </c>
      <c r="C20" s="5" t="str">
        <f t="shared" si="0"/>
        <v>17Pacto Energia</v>
      </c>
      <c r="D20" s="13" t="s">
        <v>29</v>
      </c>
      <c r="E20" s="5">
        <v>855</v>
      </c>
      <c r="F20" s="8">
        <v>312.61</v>
      </c>
      <c r="G20" s="19">
        <v>271.17</v>
      </c>
      <c r="H20" s="19">
        <v>385.63</v>
      </c>
      <c r="I20" s="11">
        <v>289.87</v>
      </c>
      <c r="J20" s="22">
        <v>245.52</v>
      </c>
      <c r="K20" s="22">
        <v>397.45</v>
      </c>
      <c r="L20" s="29"/>
      <c r="M20" s="30"/>
      <c r="N20" s="30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Vieira</dc:creator>
  <cp:lastModifiedBy>Fernando Vieira</cp:lastModifiedBy>
  <dcterms:created xsi:type="dcterms:W3CDTF">2026-07-27T20:48:01Z</dcterms:created>
  <dcterms:modified xsi:type="dcterms:W3CDTF">2026-08-13T19:25:44Z</dcterms:modified>
</cp:coreProperties>
</file>